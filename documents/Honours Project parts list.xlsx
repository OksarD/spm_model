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b63d44be9c6c0b/OneDrive Docs/Flinders/2025 Honours Project/"/>
    </mc:Choice>
  </mc:AlternateContent>
  <xr:revisionPtr revIDLastSave="397" documentId="8_{AFCC5A75-3275-4BF3-8DEB-C964AFE9DF0E}" xr6:coauthVersionLast="47" xr6:coauthVersionMax="47" xr10:uidLastSave="{39F64403-E527-4620-81F8-A02A16A7C3D5}"/>
  <bookViews>
    <workbookView minimized="1" xWindow="564" yWindow="528" windowWidth="23040" windowHeight="12120" xr2:uid="{6CB2F777-A0C2-4C8E-89F3-DDBEDF424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2" i="1"/>
  <c r="E13" i="1"/>
  <c r="E4" i="1"/>
  <c r="E5" i="1"/>
  <c r="E6" i="1"/>
  <c r="E8" i="1"/>
  <c r="E9" i="1"/>
  <c r="E7" i="1"/>
  <c r="E11" i="1"/>
  <c r="E10" i="1" l="1"/>
</calcChain>
</file>

<file path=xl/sharedStrings.xml><?xml version="1.0" encoding="utf-8"?>
<sst xmlns="http://schemas.openxmlformats.org/spreadsheetml/2006/main" count="38" uniqueCount="31">
  <si>
    <t>Parts List</t>
  </si>
  <si>
    <t>Name/Description</t>
  </si>
  <si>
    <t>Unit Quantity</t>
  </si>
  <si>
    <t>Seller</t>
  </si>
  <si>
    <t>URL</t>
  </si>
  <si>
    <t>Core Electronics</t>
  </si>
  <si>
    <t>SparkFun 6 Degrees of Freedom Breakout - LSM6DSO (Qwiic) | Buy in Australia | SEN-18020 | Sparkfun | Core Electronics</t>
  </si>
  <si>
    <t>SparkFun 6 Degrees of Freedom Breakout - LSM6DSO (Qwiic)</t>
  </si>
  <si>
    <t>RS Components</t>
  </si>
  <si>
    <t>Slip Ring - 12 Wire (2A)</t>
  </si>
  <si>
    <t>Slip Ring - 12 Wire (2A) | Buy in Australia | ROB-13065 | Sparkfun | Core Electronics</t>
  </si>
  <si>
    <t>50*80D 15W Bearing</t>
  </si>
  <si>
    <t>35*62D 14W Bearing</t>
  </si>
  <si>
    <t>20*42D 12W Bearing</t>
  </si>
  <si>
    <t>Timing pulley 3M 12T 9W</t>
  </si>
  <si>
    <t>Timing Belt 3M 140T 9W 420mm</t>
  </si>
  <si>
    <t>5*16D 5W Bearing</t>
  </si>
  <si>
    <t>https://au.rs-online.com/web/p/ball-bearings/6190777?gb=s</t>
  </si>
  <si>
    <t>https://au.rs-online.com/web/p/ball-bearings/6190682?gb=s</t>
  </si>
  <si>
    <t>https://au.rs-online.com/web/p/ball-bearings/6190424?gb=s</t>
  </si>
  <si>
    <t>https://au.rs-online.com/web/p/ball-bearings/1883316?gb=s</t>
  </si>
  <si>
    <t>https://au.rs-online.com/web/p/belt-pulleys/2365389?gb=s</t>
  </si>
  <si>
    <t>https://au.rs-online.com/web/p/timing-belts/2042925?gb=s</t>
  </si>
  <si>
    <t>Bambu Lab</t>
  </si>
  <si>
    <t>PC (Black) 1kg Filament</t>
  </si>
  <si>
    <t>Unit Cost</t>
  </si>
  <si>
    <t>Total Cost</t>
  </si>
  <si>
    <t>https://au.store.bambulab.com/products/petg-hf</t>
  </si>
  <si>
    <t>PETG HF (Blue) 1kg Filament</t>
  </si>
  <si>
    <t>https://au.store.bambulab.com/products/pc-filament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</si>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</sst>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/>
    <xf numFmtId="164" fontId="0" fillId="0" borderId="0" xfId="0" applyNumberFormat="1"/>
    <xf numFmtId="164" fontId="0" fillId="0" borderId="0" xfId="2" applyNumberFormat="1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.rs-online.com/web/p/timing-belts/2042925?gb=s" TargetMode="External"/><Relationship Id="rId3" Type="http://schemas.openxmlformats.org/officeDocument/2006/relationships/hyperlink" Target="https://au.rs-online.com/web/p/ball-bearings/6190777?gb=s" TargetMode="External"/><Relationship Id="rId7" Type="http://schemas.openxmlformats.org/officeDocument/2006/relationships/hyperlink" Target="https://au.rs-online.com/web/p/belt-pulleys/2365389?gb=s" TargetMode="External"/><Relationship Id="rId2" Type="http://schemas.openxmlformats.org/officeDocument/2006/relationships/hyperlink" Target="https://core-electronics.com.au/slip-ring-12-wire-2a.html" TargetMode="External"/><Relationship Id="rId1" Type="http://schemas.openxmlformats.org/officeDocument/2006/relationships/hyperlink" Target="https://core-electronics.com.au/sparkfun-6-degrees-of-freedom-breakout-lsm6dso-qwiic.html" TargetMode="External"/><Relationship Id="rId6" Type="http://schemas.openxmlformats.org/officeDocument/2006/relationships/hyperlink" Target="https://au.rs-online.com/web/p/ball-bearings/6190682?gb=s" TargetMode="External"/><Relationship Id="rId5" Type="http://schemas.openxmlformats.org/officeDocument/2006/relationships/hyperlink" Target="https://au.rs-online.com/web/p/ball-bearings/1883316?gb=s" TargetMode="External"/><Relationship Id="rId10" Type="http://schemas.openxmlformats.org/officeDocument/2006/relationships/hyperlink" Target="https://au.store.bambulab.com/products/pc-filament" TargetMode="External"/><Relationship Id="rId4" Type="http://schemas.openxmlformats.org/officeDocument/2006/relationships/hyperlink" Target="https://au.rs-online.com/web/p/ball-bearings/6190424?gb=s" TargetMode="External"/><Relationship Id="rId9" Type="http://schemas.openxmlformats.org/officeDocument/2006/relationships/hyperlink" Target="https://au.store.bambulab.com/products/petg-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49D4-F0A2-4835-97B7-D309907A31E1}">
  <dimension ref="A1:J30"/>
  <sheetViews>
    <sheetView tabSelected="1" zoomScale="85" zoomScaleNormal="85" workbookViewId="0">
      <selection activeCell="A3" sqref="A3:E14"/>
    </sheetView>
  </sheetViews>
  <sheetFormatPr defaultRowHeight="14.4" x14ac:dyDescent="0.3"/>
  <cols>
    <col min="1" max="1" width="18.6640625" customWidth="1"/>
    <col min="2" max="2" width="26.33203125" customWidth="1"/>
    <col min="3" max="3" width="14" customWidth="1"/>
    <col min="4" max="4" width="11.77734375" customWidth="1"/>
    <col min="5" max="5" width="11.109375" customWidth="1"/>
    <col min="6" max="6" width="103.44140625" style="2" customWidth="1"/>
    <col min="7" max="7" width="13.6640625" customWidth="1"/>
    <col min="8" max="8" width="15.109375" style="2" customWidth="1"/>
    <col min="9" max="9" width="14.88671875" customWidth="1"/>
  </cols>
  <sheetData>
    <row r="1" spans="1:10" x14ac:dyDescent="0.3">
      <c r="A1" t="s">
        <v>0</v>
      </c>
    </row>
    <row r="3" spans="1:10" x14ac:dyDescent="0.3">
      <c r="A3" t="s">
        <v>3</v>
      </c>
      <c r="B3" t="s">
        <v>1</v>
      </c>
      <c r="C3" t="s">
        <v>2</v>
      </c>
      <c r="D3" s="2" t="s">
        <v>25</v>
      </c>
      <c r="E3" s="2" t="s">
        <v>26</v>
      </c>
      <c r="F3" t="s">
        <v>4</v>
      </c>
    </row>
    <row r="4" spans="1:10" x14ac:dyDescent="0.3">
      <c r="A4" t="s">
        <v>8</v>
      </c>
      <c r="B4" t="s">
        <v>11</v>
      </c>
      <c r="C4">
        <v>2</v>
      </c>
      <c r="D4" s="3">
        <v>23.23</v>
      </c>
      <c r="E4" s="3">
        <f>D4*C4</f>
        <v>46.46</v>
      </c>
      <c r="F4" s="1" t="s">
        <v>17</v>
      </c>
    </row>
    <row r="5" spans="1:10" x14ac:dyDescent="0.3">
      <c r="A5" t="s">
        <v>8</v>
      </c>
      <c r="B5" t="s">
        <v>12</v>
      </c>
      <c r="C5">
        <v>2</v>
      </c>
      <c r="D5" s="3">
        <v>14.89</v>
      </c>
      <c r="E5" s="3">
        <f>D5*C5</f>
        <v>29.78</v>
      </c>
      <c r="F5" s="1" t="s">
        <v>18</v>
      </c>
    </row>
    <row r="6" spans="1:10" x14ac:dyDescent="0.3">
      <c r="A6" t="s">
        <v>8</v>
      </c>
      <c r="B6" t="s">
        <v>13</v>
      </c>
      <c r="C6">
        <v>2</v>
      </c>
      <c r="D6" s="3">
        <v>8.42</v>
      </c>
      <c r="E6" s="3">
        <f>D6*C6</f>
        <v>16.84</v>
      </c>
      <c r="F6" s="1" t="s">
        <v>19</v>
      </c>
    </row>
    <row r="7" spans="1:10" x14ac:dyDescent="0.3">
      <c r="A7" t="s">
        <v>8</v>
      </c>
      <c r="B7" t="s">
        <v>16</v>
      </c>
      <c r="C7">
        <v>3</v>
      </c>
      <c r="D7" s="3">
        <v>3.89</v>
      </c>
      <c r="E7" s="3">
        <f>D7*C9</f>
        <v>70.02</v>
      </c>
      <c r="F7" s="1" t="s">
        <v>20</v>
      </c>
    </row>
    <row r="8" spans="1:10" x14ac:dyDescent="0.3">
      <c r="A8" t="s">
        <v>8</v>
      </c>
      <c r="B8" t="s">
        <v>14</v>
      </c>
      <c r="C8">
        <v>3</v>
      </c>
      <c r="D8" s="3">
        <v>9.3000000000000007</v>
      </c>
      <c r="E8" s="3">
        <f>D8*C7</f>
        <v>27.900000000000002</v>
      </c>
      <c r="F8" s="1" t="s">
        <v>21</v>
      </c>
    </row>
    <row r="9" spans="1:10" x14ac:dyDescent="0.3">
      <c r="A9" t="s">
        <v>8</v>
      </c>
      <c r="B9" t="s">
        <v>15</v>
      </c>
      <c r="C9">
        <v>18</v>
      </c>
      <c r="D9" s="3">
        <v>16.52</v>
      </c>
      <c r="E9" s="3">
        <f>D9*C8</f>
        <v>49.56</v>
      </c>
      <c r="F9" s="1" t="s">
        <v>22</v>
      </c>
    </row>
    <row r="10" spans="1:10" x14ac:dyDescent="0.3">
      <c r="A10" t="s">
        <v>5</v>
      </c>
      <c r="B10" t="s">
        <v>7</v>
      </c>
      <c r="C10">
        <v>1</v>
      </c>
      <c r="D10" s="3">
        <v>27.75</v>
      </c>
      <c r="E10" s="3">
        <f>D10*C10</f>
        <v>27.75</v>
      </c>
      <c r="F10" s="1" t="s">
        <v>6</v>
      </c>
    </row>
    <row r="11" spans="1:10" x14ac:dyDescent="0.3">
      <c r="A11" t="s">
        <v>5</v>
      </c>
      <c r="B11" t="s">
        <v>9</v>
      </c>
      <c r="C11">
        <v>1</v>
      </c>
      <c r="D11" s="3">
        <v>47.9</v>
      </c>
      <c r="E11" s="3">
        <f>D11*C11</f>
        <v>47.9</v>
      </c>
      <c r="F11" s="1" t="s">
        <v>10</v>
      </c>
    </row>
    <row r="12" spans="1:10" x14ac:dyDescent="0.3">
      <c r="A12" t="s">
        <v>23</v>
      </c>
      <c r="B12" t="s">
        <v>24</v>
      </c>
      <c r="C12">
        <v>1</v>
      </c>
      <c r="D12" s="3">
        <v>61.99</v>
      </c>
      <c r="E12" s="3">
        <f t="shared" ref="E12:E13" si="0">D12*C12</f>
        <v>61.99</v>
      </c>
      <c r="F12" s="1" t="s">
        <v>29</v>
      </c>
      <c r="G12" s="2"/>
      <c r="H12"/>
      <c r="I12" s="2"/>
      <c r="J12" s="1"/>
    </row>
    <row r="13" spans="1:10" x14ac:dyDescent="0.3">
      <c r="A13" t="s">
        <v>23</v>
      </c>
      <c r="B13" t="s">
        <v>28</v>
      </c>
      <c r="C13">
        <v>1</v>
      </c>
      <c r="D13" s="3">
        <v>30.99</v>
      </c>
      <c r="E13" s="3">
        <f t="shared" si="0"/>
        <v>30.99</v>
      </c>
      <c r="F13" s="1" t="s">
        <v>27</v>
      </c>
      <c r="H13"/>
    </row>
    <row r="14" spans="1:10" x14ac:dyDescent="0.3">
      <c r="D14" t="s">
        <v>30</v>
      </c>
      <c r="E14" s="3">
        <f>SUM(E4:E13)</f>
        <v>409.19000000000005</v>
      </c>
      <c r="F14"/>
      <c r="H14"/>
    </row>
    <row r="15" spans="1:10" x14ac:dyDescent="0.3">
      <c r="H15"/>
    </row>
    <row r="16" spans="1:10" x14ac:dyDescent="0.3">
      <c r="F16"/>
      <c r="H16"/>
    </row>
    <row r="17" spans="6:8" x14ac:dyDescent="0.3">
      <c r="F17"/>
      <c r="H17"/>
    </row>
    <row r="18" spans="6:8" x14ac:dyDescent="0.3">
      <c r="F18"/>
      <c r="H18"/>
    </row>
    <row r="19" spans="6:8" x14ac:dyDescent="0.3">
      <c r="F19"/>
      <c r="H19"/>
    </row>
    <row r="20" spans="6:8" x14ac:dyDescent="0.3">
      <c r="F20"/>
      <c r="H20"/>
    </row>
    <row r="21" spans="6:8" x14ac:dyDescent="0.3">
      <c r="F21"/>
      <c r="H21"/>
    </row>
    <row r="22" spans="6:8" x14ac:dyDescent="0.3">
      <c r="F22"/>
      <c r="H22"/>
    </row>
    <row r="23" spans="6:8" x14ac:dyDescent="0.3">
      <c r="F23"/>
      <c r="H23"/>
    </row>
    <row r="24" spans="6:8" x14ac:dyDescent="0.3">
      <c r="F24"/>
      <c r="H24"/>
    </row>
    <row r="25" spans="6:8" x14ac:dyDescent="0.3">
      <c r="F25"/>
      <c r="H25"/>
    </row>
    <row r="26" spans="6:8" x14ac:dyDescent="0.3">
      <c r="F26"/>
      <c r="H26"/>
    </row>
    <row r="27" spans="6:8" x14ac:dyDescent="0.3">
      <c r="F27"/>
      <c r="H27"/>
    </row>
    <row r="28" spans="6:8" x14ac:dyDescent="0.3">
      <c r="F28"/>
      <c r="H28"/>
    </row>
    <row r="29" spans="6:8" x14ac:dyDescent="0.3">
      <c r="F29"/>
      <c r="H29"/>
    </row>
    <row r="30" spans="6:8" x14ac:dyDescent="0.3">
      <c r="F30"/>
      <c r="H30"/>
    </row>
  </sheetData>
  <hyperlinks>
    <hyperlink ref="F10" r:id="rId1" display="https://core-electronics.com.au/sparkfun-6-degrees-of-freedom-breakout-lsm6dso-qwiic.html" xr:uid="{76172CDE-2E24-404D-AAB9-1979BFBB25DF}"/>
    <hyperlink ref="F11" r:id="rId2" display="https://core-electronics.com.au/slip-ring-12-wire-2a.html" xr:uid="{982A815B-3E14-4EA7-B699-FDAAA687D2ED}"/>
    <hyperlink ref="F4" r:id="rId3" xr:uid="{E95056EA-E84F-468B-B3C6-DB121C32F0D6}"/>
    <hyperlink ref="F6" r:id="rId4" xr:uid="{896284B8-A2D6-499C-ADB9-77BBB5F6AC24}"/>
    <hyperlink ref="F7" r:id="rId5" xr:uid="{D9B358CE-54AC-403E-94D1-A9FA9106A3ED}"/>
    <hyperlink ref="F5" r:id="rId6" xr:uid="{820699CF-9ED4-478A-9AAB-DE2DDA20F000}"/>
    <hyperlink ref="F8" r:id="rId7" xr:uid="{48F51EE8-E511-4732-BCE8-00B3394FB9D3}"/>
    <hyperlink ref="F9" r:id="rId8" xr:uid="{12EDEA4A-76D9-4043-AB23-C201CF0CE17B}"/>
    <hyperlink ref="F13" r:id="rId9" xr:uid="{62FF72B5-53B9-4EFA-978E-2607BFF07CD4}"/>
    <hyperlink ref="F12" r:id="rId10" xr:uid="{B83717B4-D17E-44B8-8083-802EFF3BA0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Durham</dc:creator>
  <cp:lastModifiedBy>Oskar Durham</cp:lastModifiedBy>
  <dcterms:created xsi:type="dcterms:W3CDTF">2025-04-29T07:47:09Z</dcterms:created>
  <dcterms:modified xsi:type="dcterms:W3CDTF">2025-12-04T00:13:15Z</dcterms:modified>
</cp:coreProperties>
</file>